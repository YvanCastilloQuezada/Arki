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Partidas" sheetId="2" state="visible" r:id="rId2"/>
    <sheet xmlns:r="http://schemas.openxmlformats.org/officeDocument/2006/relationships" name="Áreas" sheetId="3" state="visible" r:id="rId3"/>
    <sheet xmlns:r="http://schemas.openxmlformats.org/officeDocument/2006/relationships" name="Not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0B1D35"/>
      </patternFill>
    </fill>
    <fill>
      <patternFill patternType="solid">
        <fgColor rgb="00D9A44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Total simulado sin IGV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'Resumen'!D11</f>
            </strRef>
          </tx>
          <spPr>
            <a:ln xmlns:a="http://schemas.openxmlformats.org/drawingml/2006/main">
              <a:prstDash val="solid"/>
            </a:ln>
          </spPr>
          <cat>
            <numRef>
              <f>'Resumen'!$A$12:$A$14</f>
            </numRef>
          </cat>
          <val>
            <numRef>
              <f>'Resumen'!$D$12:$D$14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Escenario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PEN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10</row>
      <rowOff>0</rowOff>
    </from>
    <ext cx="468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39" customWidth="1" min="2" max="2"/>
    <col width="12" customWidth="1" min="3" max="3"/>
    <col width="15" customWidth="1" min="4" max="4"/>
    <col width="27" customWidth="1" min="5" max="5"/>
  </cols>
  <sheetData>
    <row r="1">
      <c r="A1" s="1" t="n"/>
      <c r="B1" s="2" t="n"/>
      <c r="C1" s="2" t="n"/>
      <c r="D1" s="2" t="n"/>
      <c r="E1" s="2" t="n"/>
    </row>
    <row r="2">
      <c r="A2" s="2" t="inlineStr">
        <is>
          <t>SIMULACIÓN DE COSTOS — HOUSE-A21-S1</t>
        </is>
      </c>
      <c r="B2" s="2" t="n"/>
      <c r="C2" s="2" t="n"/>
      <c r="D2" s="2" t="n"/>
      <c r="E2" s="2" t="n"/>
    </row>
    <row r="3">
      <c r="A3" s="2" t="inlineStr">
        <is>
          <t>Modelo</t>
        </is>
      </c>
      <c r="B3" s="2" t="inlineStr">
        <is>
          <t>HOUSE-A21-S1-CONCEPTUAL-FLOOR-PLAN</t>
        </is>
      </c>
      <c r="C3" s="2" t="n"/>
      <c r="D3" s="2" t="n"/>
      <c r="E3" s="2" t="n"/>
    </row>
    <row r="4">
      <c r="A4" s="2" t="inlineStr">
        <is>
          <t>Estado</t>
        </is>
      </c>
      <c r="B4" s="2" t="inlineStr">
        <is>
          <t>CONCEPTUAL_FLOOR_PLAN / HYPOTHESIS</t>
        </is>
      </c>
      <c r="C4" s="2" t="n"/>
      <c r="D4" s="2" t="n"/>
      <c r="E4" s="2" t="n"/>
    </row>
    <row r="5">
      <c r="A5" s="2" t="inlineStr">
        <is>
          <t>Área interior N1 (m²)</t>
        </is>
      </c>
      <c r="B5" s="2" t="n">
        <v>79.5</v>
      </c>
      <c r="C5" s="2" t="n"/>
      <c r="D5" s="2" t="n"/>
      <c r="E5" s="2" t="n"/>
    </row>
    <row r="6">
      <c r="A6" s="2" t="inlineStr">
        <is>
          <t>Área interior N2 (m²)</t>
        </is>
      </c>
      <c r="B6" s="2" t="n">
        <v>70.25</v>
      </c>
      <c r="C6" s="2" t="n"/>
      <c r="D6" s="2" t="n"/>
      <c r="E6" s="2" t="n"/>
    </row>
    <row r="7">
      <c r="A7" s="2" t="inlineStr">
        <is>
          <t>Área interior total (m²)</t>
        </is>
      </c>
      <c r="B7" s="2" t="n">
        <v>149.75</v>
      </c>
      <c r="C7" s="2" t="n"/>
      <c r="D7" s="2" t="n"/>
      <c r="E7" s="2" t="n"/>
    </row>
    <row r="8">
      <c r="A8" s="2" t="inlineStr">
        <is>
          <t>Patio incluido aparte (m²)</t>
        </is>
      </c>
      <c r="B8" s="2" t="n">
        <v>21</v>
      </c>
      <c r="C8" s="2" t="n"/>
      <c r="D8" s="2" t="n"/>
      <c r="E8" s="2" t="n"/>
    </row>
    <row r="9">
      <c r="A9" s="2" t="inlineStr">
        <is>
          <t>Moneda</t>
        </is>
      </c>
      <c r="B9" s="2" t="inlineStr">
        <is>
          <t>PEN</t>
        </is>
      </c>
      <c r="C9" s="2" t="n"/>
      <c r="D9" s="2" t="n"/>
      <c r="E9" s="2" t="n"/>
    </row>
    <row r="10">
      <c r="A10" s="2" t="inlineStr">
        <is>
          <t>Naturaleza</t>
        </is>
      </c>
      <c r="B10" s="2" t="inlineStr">
        <is>
          <t>Simulación paramétrica; no cotización</t>
        </is>
      </c>
      <c r="C10" s="2" t="n"/>
      <c r="D10" s="2" t="n"/>
      <c r="E10" s="2" t="n"/>
    </row>
    <row r="11">
      <c r="A11" s="3" t="n"/>
      <c r="B11" s="3" t="n"/>
      <c r="C11" s="3" t="n"/>
      <c r="D11" s="3" t="n"/>
      <c r="E11" s="3" t="n"/>
    </row>
    <row r="12">
      <c r="A12" s="2" t="inlineStr">
        <is>
          <t>Escenario</t>
        </is>
      </c>
      <c r="B12" s="2" t="inlineStr">
        <is>
          <t>Precio hipotético PEN/m²</t>
        </is>
      </c>
      <c r="C12" s="2" t="inlineStr">
        <is>
          <t>Directo</t>
        </is>
      </c>
      <c r="D12" s="2" t="inlineStr">
        <is>
          <t>Total sin IGV</t>
        </is>
      </c>
      <c r="E12" s="2" t="inlineStr">
        <is>
          <t>Total con IGV referencial</t>
        </is>
      </c>
    </row>
    <row r="13">
      <c r="A13" s="2" t="inlineStr">
        <is>
          <t>Bajo</t>
        </is>
      </c>
      <c r="B13" s="2" t="n">
        <v>2800</v>
      </c>
      <c r="C13" s="2" t="n">
        <v>419300</v>
      </c>
      <c r="D13" s="2" t="n">
        <v>536704</v>
      </c>
      <c r="E13" s="2" t="n">
        <v>633310.72</v>
      </c>
    </row>
    <row r="14">
      <c r="A14" s="2" t="inlineStr">
        <is>
          <t>Medio</t>
        </is>
      </c>
      <c r="B14" s="2" t="n">
        <v>3800</v>
      </c>
      <c r="C14" s="2" t="n">
        <v>569050</v>
      </c>
      <c r="D14" s="2" t="n">
        <v>728384</v>
      </c>
      <c r="E14" s="2" t="n">
        <v>859493.12</v>
      </c>
    </row>
    <row r="15">
      <c r="A15" s="2" t="inlineStr">
        <is>
          <t>Alto</t>
        </is>
      </c>
      <c r="B15" s="2" t="n">
        <v>5200</v>
      </c>
      <c r="C15" s="2" t="n">
        <v>778700</v>
      </c>
      <c r="D15" s="2" t="n">
        <v>996736</v>
      </c>
      <c r="E15" s="2" t="n">
        <v>1176148.48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2" customWidth="1" min="3" max="3"/>
    <col width="27" customWidth="1" min="4" max="4"/>
    <col width="20" customWidth="1" min="5" max="5"/>
  </cols>
  <sheetData>
    <row r="1">
      <c r="A1" s="1" t="inlineStr">
        <is>
          <t>Escenario</t>
        </is>
      </c>
      <c r="B1" s="1" t="inlineStr">
        <is>
          <t>Partida</t>
        </is>
      </c>
      <c r="C1" s="1" t="inlineStr">
        <is>
          <t>Base m²</t>
        </is>
      </c>
      <c r="D1" s="1" t="inlineStr">
        <is>
          <t>Precio equivalente PEN/m²</t>
        </is>
      </c>
      <c r="E1" s="1" t="inlineStr">
        <is>
          <t>Importe PEN</t>
        </is>
      </c>
    </row>
    <row r="2">
      <c r="A2" s="2" t="inlineStr">
        <is>
          <t>Bajo</t>
        </is>
      </c>
      <c r="B2" s="2" t="inlineStr">
        <is>
          <t>Construcción directa interior</t>
        </is>
      </c>
      <c r="C2" s="2" t="n">
        <v>149.75</v>
      </c>
      <c r="D2" s="2" t="n">
        <v>2800</v>
      </c>
      <c r="E2" s="2" t="n">
        <v>419300</v>
      </c>
    </row>
    <row r="3">
      <c r="A3" s="2" t="inlineStr">
        <is>
          <t>Bajo</t>
        </is>
      </c>
      <c r="B3" s="2" t="inlineStr">
        <is>
          <t>Preliminares y obras provisionales</t>
        </is>
      </c>
      <c r="C3" s="2" t="n">
        <v>149.75</v>
      </c>
      <c r="D3" s="2" t="n">
        <v>168</v>
      </c>
      <c r="E3" s="2" t="n">
        <v>25158</v>
      </c>
    </row>
    <row r="4">
      <c r="A4" s="2" t="inlineStr">
        <is>
          <t>Bajo</t>
        </is>
      </c>
      <c r="B4" s="2" t="inlineStr">
        <is>
          <t>Estructura y cimentación</t>
        </is>
      </c>
      <c r="C4" s="2" t="n">
        <v>149.75</v>
      </c>
      <c r="D4" s="2" t="n">
        <v>700</v>
      </c>
      <c r="E4" s="2" t="n">
        <v>104825</v>
      </c>
    </row>
    <row r="5">
      <c r="A5" s="2" t="inlineStr">
        <is>
          <t>Bajo</t>
        </is>
      </c>
      <c r="B5" s="2" t="inlineStr">
        <is>
          <t>Muros, tabiques y envolvente</t>
        </is>
      </c>
      <c r="C5" s="2" t="n">
        <v>149.75</v>
      </c>
      <c r="D5" s="2" t="n">
        <v>504</v>
      </c>
      <c r="E5" s="2" t="n">
        <v>75474</v>
      </c>
    </row>
    <row r="6">
      <c r="A6" s="2" t="inlineStr">
        <is>
          <t>Bajo</t>
        </is>
      </c>
      <c r="B6" s="2" t="inlineStr">
        <is>
          <t>Puertas y ventanas</t>
        </is>
      </c>
      <c r="C6" s="2" t="n">
        <v>149.75</v>
      </c>
      <c r="D6" s="2" t="n">
        <v>224</v>
      </c>
      <c r="E6" s="2" t="n">
        <v>33544</v>
      </c>
    </row>
    <row r="7">
      <c r="A7" s="2" t="inlineStr">
        <is>
          <t>Bajo</t>
        </is>
      </c>
      <c r="B7" s="2" t="inlineStr">
        <is>
          <t>Acabados</t>
        </is>
      </c>
      <c r="C7" s="2" t="n">
        <v>149.75</v>
      </c>
      <c r="D7" s="2" t="n">
        <v>700</v>
      </c>
      <c r="E7" s="2" t="n">
        <v>104825</v>
      </c>
    </row>
    <row r="8">
      <c r="A8" s="2" t="inlineStr">
        <is>
          <t>Bajo</t>
        </is>
      </c>
      <c r="B8" s="2" t="inlineStr">
        <is>
          <t>Instalaciones sanitarias, eléctricas y especiales</t>
        </is>
      </c>
      <c r="C8" s="2" t="n">
        <v>149.75</v>
      </c>
      <c r="D8" s="2" t="n">
        <v>504</v>
      </c>
      <c r="E8" s="2" t="n">
        <v>75474</v>
      </c>
    </row>
    <row r="9">
      <c r="A9" s="2" t="inlineStr">
        <is>
          <t>Bajo</t>
        </is>
      </c>
      <c r="B9" s="2" t="inlineStr">
        <is>
          <t>Obras exteriores y patio</t>
        </is>
      </c>
      <c r="C9" s="2" t="n">
        <v>149.75</v>
      </c>
      <c r="D9" s="2" t="n">
        <v>224</v>
      </c>
      <c r="E9" s="2" t="n">
        <v>33544</v>
      </c>
    </row>
    <row r="10">
      <c r="A10" s="2" t="inlineStr">
        <is>
          <t>Bajo</t>
        </is>
      </c>
      <c r="B10" s="2" t="inlineStr">
        <is>
          <t>Diseño, coordinación y permisos</t>
        </is>
      </c>
      <c r="C10" s="2" t="n">
        <v>149.75</v>
      </c>
      <c r="D10" s="2" t="n">
        <v>280</v>
      </c>
      <c r="E10" s="2" t="n">
        <v>41930</v>
      </c>
    </row>
    <row r="11">
      <c r="A11" s="2" t="inlineStr">
        <is>
          <t>Bajo</t>
        </is>
      </c>
      <c r="B11" s="2" t="inlineStr">
        <is>
          <t>Contingencia de simulación</t>
        </is>
      </c>
      <c r="C11" s="2" t="n">
        <v>149.75</v>
      </c>
      <c r="D11" s="2" t="n">
        <v>280</v>
      </c>
      <c r="E11" s="2" t="n">
        <v>41930</v>
      </c>
    </row>
    <row r="12">
      <c r="A12" s="2" t="inlineStr">
        <is>
          <t>Bajo</t>
        </is>
      </c>
      <c r="B12" s="2" t="inlineStr">
        <is>
          <t>TOTAL SIMULADO SIN IGV</t>
        </is>
      </c>
      <c r="C12" s="2" t="n">
        <v>149.75</v>
      </c>
      <c r="D12" s="2" t="n">
        <v>2800</v>
      </c>
      <c r="E12" s="2" t="n">
        <v>536704</v>
      </c>
    </row>
    <row r="13">
      <c r="A13" s="2" t="inlineStr">
        <is>
          <t>Bajo</t>
        </is>
      </c>
      <c r="B13" s="2" t="inlineStr">
        <is>
          <t>IGV referencial 18% si aplica</t>
        </is>
      </c>
      <c r="C13" s="2" t="n">
        <v>149.75</v>
      </c>
      <c r="D13" s="2" t="n">
        <v>2800</v>
      </c>
      <c r="E13" s="2" t="n">
        <v>96606.72</v>
      </c>
    </row>
    <row r="14">
      <c r="A14" s="2" t="inlineStr">
        <is>
          <t>Bajo</t>
        </is>
      </c>
      <c r="B14" s="2" t="inlineStr">
        <is>
          <t>TOTAL SIMULADO CON IGV REFERENCIAL</t>
        </is>
      </c>
      <c r="C14" s="2" t="n">
        <v>149.75</v>
      </c>
      <c r="D14" s="2" t="n">
        <v>2800</v>
      </c>
      <c r="E14" s="2" t="n">
        <v>633310.72</v>
      </c>
    </row>
    <row r="15">
      <c r="A15" s="2" t="inlineStr">
        <is>
          <t>Medio</t>
        </is>
      </c>
      <c r="B15" s="2" t="inlineStr">
        <is>
          <t>Construcción directa interior</t>
        </is>
      </c>
      <c r="C15" s="2" t="n">
        <v>149.75</v>
      </c>
      <c r="D15" s="2" t="n">
        <v>3800</v>
      </c>
      <c r="E15" s="2" t="n">
        <v>569050</v>
      </c>
    </row>
    <row r="16">
      <c r="A16" s="2" t="inlineStr">
        <is>
          <t>Medio</t>
        </is>
      </c>
      <c r="B16" s="2" t="inlineStr">
        <is>
          <t>Preliminares y obras provisionales</t>
        </is>
      </c>
      <c r="C16" s="2" t="n">
        <v>149.75</v>
      </c>
      <c r="D16" s="2" t="n">
        <v>228</v>
      </c>
      <c r="E16" s="2" t="n">
        <v>34143</v>
      </c>
    </row>
    <row r="17">
      <c r="A17" s="2" t="inlineStr">
        <is>
          <t>Medio</t>
        </is>
      </c>
      <c r="B17" s="2" t="inlineStr">
        <is>
          <t>Estructura y cimentación</t>
        </is>
      </c>
      <c r="C17" s="2" t="n">
        <v>149.75</v>
      </c>
      <c r="D17" s="2" t="n">
        <v>950</v>
      </c>
      <c r="E17" s="2" t="n">
        <v>142262.5</v>
      </c>
    </row>
    <row r="18">
      <c r="A18" s="2" t="inlineStr">
        <is>
          <t>Medio</t>
        </is>
      </c>
      <c r="B18" s="2" t="inlineStr">
        <is>
          <t>Muros, tabiques y envolvente</t>
        </is>
      </c>
      <c r="C18" s="2" t="n">
        <v>149.75</v>
      </c>
      <c r="D18" s="2" t="n">
        <v>684</v>
      </c>
      <c r="E18" s="2" t="n">
        <v>102429</v>
      </c>
    </row>
    <row r="19">
      <c r="A19" s="2" t="inlineStr">
        <is>
          <t>Medio</t>
        </is>
      </c>
      <c r="B19" s="2" t="inlineStr">
        <is>
          <t>Puertas y ventanas</t>
        </is>
      </c>
      <c r="C19" s="2" t="n">
        <v>149.75</v>
      </c>
      <c r="D19" s="2" t="n">
        <v>304</v>
      </c>
      <c r="E19" s="2" t="n">
        <v>45524</v>
      </c>
    </row>
    <row r="20">
      <c r="A20" s="2" t="inlineStr">
        <is>
          <t>Medio</t>
        </is>
      </c>
      <c r="B20" s="2" t="inlineStr">
        <is>
          <t>Acabados</t>
        </is>
      </c>
      <c r="C20" s="2" t="n">
        <v>149.75</v>
      </c>
      <c r="D20" s="2" t="n">
        <v>950</v>
      </c>
      <c r="E20" s="2" t="n">
        <v>142262.5</v>
      </c>
    </row>
    <row r="21">
      <c r="A21" s="2" t="inlineStr">
        <is>
          <t>Medio</t>
        </is>
      </c>
      <c r="B21" s="2" t="inlineStr">
        <is>
          <t>Instalaciones sanitarias, eléctricas y especiales</t>
        </is>
      </c>
      <c r="C21" s="2" t="n">
        <v>149.75</v>
      </c>
      <c r="D21" s="2" t="n">
        <v>684</v>
      </c>
      <c r="E21" s="2" t="n">
        <v>102429</v>
      </c>
    </row>
    <row r="22">
      <c r="A22" s="2" t="inlineStr">
        <is>
          <t>Medio</t>
        </is>
      </c>
      <c r="B22" s="2" t="inlineStr">
        <is>
          <t>Obras exteriores y patio</t>
        </is>
      </c>
      <c r="C22" s="2" t="n">
        <v>149.75</v>
      </c>
      <c r="D22" s="2" t="n">
        <v>304</v>
      </c>
      <c r="E22" s="2" t="n">
        <v>45524</v>
      </c>
    </row>
    <row r="23">
      <c r="A23" s="2" t="inlineStr">
        <is>
          <t>Medio</t>
        </is>
      </c>
      <c r="B23" s="2" t="inlineStr">
        <is>
          <t>Diseño, coordinación y permisos</t>
        </is>
      </c>
      <c r="C23" s="2" t="n">
        <v>149.75</v>
      </c>
      <c r="D23" s="2" t="n">
        <v>380</v>
      </c>
      <c r="E23" s="2" t="n">
        <v>56905</v>
      </c>
    </row>
    <row r="24">
      <c r="A24" s="2" t="inlineStr">
        <is>
          <t>Medio</t>
        </is>
      </c>
      <c r="B24" s="2" t="inlineStr">
        <is>
          <t>Contingencia de simulación</t>
        </is>
      </c>
      <c r="C24" s="2" t="n">
        <v>149.75</v>
      </c>
      <c r="D24" s="2" t="n">
        <v>380</v>
      </c>
      <c r="E24" s="2" t="n">
        <v>56905</v>
      </c>
    </row>
    <row r="25">
      <c r="A25" s="2" t="inlineStr">
        <is>
          <t>Medio</t>
        </is>
      </c>
      <c r="B25" s="2" t="inlineStr">
        <is>
          <t>TOTAL SIMULADO SIN IGV</t>
        </is>
      </c>
      <c r="C25" s="2" t="n">
        <v>149.75</v>
      </c>
      <c r="D25" s="2" t="n">
        <v>3800</v>
      </c>
      <c r="E25" s="2" t="n">
        <v>728384</v>
      </c>
    </row>
    <row r="26">
      <c r="A26" s="2" t="inlineStr">
        <is>
          <t>Medio</t>
        </is>
      </c>
      <c r="B26" s="2" t="inlineStr">
        <is>
          <t>IGV referencial 18% si aplica</t>
        </is>
      </c>
      <c r="C26" s="2" t="n">
        <v>149.75</v>
      </c>
      <c r="D26" s="2" t="n">
        <v>3800</v>
      </c>
      <c r="E26" s="2" t="n">
        <v>131109.12</v>
      </c>
    </row>
    <row r="27">
      <c r="A27" s="2" t="inlineStr">
        <is>
          <t>Medio</t>
        </is>
      </c>
      <c r="B27" s="2" t="inlineStr">
        <is>
          <t>TOTAL SIMULADO CON IGV REFERENCIAL</t>
        </is>
      </c>
      <c r="C27" s="2" t="n">
        <v>149.75</v>
      </c>
      <c r="D27" s="2" t="n">
        <v>3800</v>
      </c>
      <c r="E27" s="2" t="n">
        <v>859493.12</v>
      </c>
    </row>
    <row r="28">
      <c r="A28" s="2" t="inlineStr">
        <is>
          <t>Alto</t>
        </is>
      </c>
      <c r="B28" s="2" t="inlineStr">
        <is>
          <t>Construcción directa interior</t>
        </is>
      </c>
      <c r="C28" s="2" t="n">
        <v>149.75</v>
      </c>
      <c r="D28" s="2" t="n">
        <v>5200</v>
      </c>
      <c r="E28" s="2" t="n">
        <v>778700</v>
      </c>
    </row>
    <row r="29">
      <c r="A29" s="2" t="inlineStr">
        <is>
          <t>Alto</t>
        </is>
      </c>
      <c r="B29" s="2" t="inlineStr">
        <is>
          <t>Preliminares y obras provisionales</t>
        </is>
      </c>
      <c r="C29" s="2" t="n">
        <v>149.75</v>
      </c>
      <c r="D29" s="2" t="n">
        <v>312</v>
      </c>
      <c r="E29" s="2" t="n">
        <v>46722</v>
      </c>
    </row>
    <row r="30">
      <c r="A30" s="2" t="inlineStr">
        <is>
          <t>Alto</t>
        </is>
      </c>
      <c r="B30" s="2" t="inlineStr">
        <is>
          <t>Estructura y cimentación</t>
        </is>
      </c>
      <c r="C30" s="2" t="n">
        <v>149.75</v>
      </c>
      <c r="D30" s="2" t="n">
        <v>1300</v>
      </c>
      <c r="E30" s="2" t="n">
        <v>194675</v>
      </c>
    </row>
    <row r="31">
      <c r="A31" s="2" t="inlineStr">
        <is>
          <t>Alto</t>
        </is>
      </c>
      <c r="B31" s="2" t="inlineStr">
        <is>
          <t>Muros, tabiques y envolvente</t>
        </is>
      </c>
      <c r="C31" s="2" t="n">
        <v>149.75</v>
      </c>
      <c r="D31" s="2" t="n">
        <v>936</v>
      </c>
      <c r="E31" s="2" t="n">
        <v>140166</v>
      </c>
    </row>
    <row r="32">
      <c r="A32" s="2" t="inlineStr">
        <is>
          <t>Alto</t>
        </is>
      </c>
      <c r="B32" s="2" t="inlineStr">
        <is>
          <t>Puertas y ventanas</t>
        </is>
      </c>
      <c r="C32" s="2" t="n">
        <v>149.75</v>
      </c>
      <c r="D32" s="2" t="n">
        <v>416</v>
      </c>
      <c r="E32" s="2" t="n">
        <v>62296</v>
      </c>
    </row>
    <row r="33">
      <c r="A33" s="2" t="inlineStr">
        <is>
          <t>Alto</t>
        </is>
      </c>
      <c r="B33" s="2" t="inlineStr">
        <is>
          <t>Acabados</t>
        </is>
      </c>
      <c r="C33" s="2" t="n">
        <v>149.75</v>
      </c>
      <c r="D33" s="2" t="n">
        <v>1300</v>
      </c>
      <c r="E33" s="2" t="n">
        <v>194675</v>
      </c>
    </row>
    <row r="34">
      <c r="A34" s="2" t="inlineStr">
        <is>
          <t>Alto</t>
        </is>
      </c>
      <c r="B34" s="2" t="inlineStr">
        <is>
          <t>Instalaciones sanitarias, eléctricas y especiales</t>
        </is>
      </c>
      <c r="C34" s="2" t="n">
        <v>149.75</v>
      </c>
      <c r="D34" s="2" t="n">
        <v>936</v>
      </c>
      <c r="E34" s="2" t="n">
        <v>140166</v>
      </c>
    </row>
    <row r="35">
      <c r="A35" s="2" t="inlineStr">
        <is>
          <t>Alto</t>
        </is>
      </c>
      <c r="B35" s="2" t="inlineStr">
        <is>
          <t>Obras exteriores y patio</t>
        </is>
      </c>
      <c r="C35" s="2" t="n">
        <v>149.75</v>
      </c>
      <c r="D35" s="2" t="n">
        <v>416</v>
      </c>
      <c r="E35" s="2" t="n">
        <v>62296</v>
      </c>
    </row>
    <row r="36">
      <c r="A36" s="2" t="inlineStr">
        <is>
          <t>Alto</t>
        </is>
      </c>
      <c r="B36" s="2" t="inlineStr">
        <is>
          <t>Diseño, coordinación y permisos</t>
        </is>
      </c>
      <c r="C36" s="2" t="n">
        <v>149.75</v>
      </c>
      <c r="D36" s="2" t="n">
        <v>520</v>
      </c>
      <c r="E36" s="2" t="n">
        <v>77870</v>
      </c>
    </row>
    <row r="37">
      <c r="A37" s="2" t="inlineStr">
        <is>
          <t>Alto</t>
        </is>
      </c>
      <c r="B37" s="2" t="inlineStr">
        <is>
          <t>Contingencia de simulación</t>
        </is>
      </c>
      <c r="C37" s="2" t="n">
        <v>149.75</v>
      </c>
      <c r="D37" s="2" t="n">
        <v>520</v>
      </c>
      <c r="E37" s="2" t="n">
        <v>77870</v>
      </c>
    </row>
    <row r="38">
      <c r="A38" s="2" t="inlineStr">
        <is>
          <t>Alto</t>
        </is>
      </c>
      <c r="B38" s="2" t="inlineStr">
        <is>
          <t>TOTAL SIMULADO SIN IGV</t>
        </is>
      </c>
      <c r="C38" s="2" t="n">
        <v>149.75</v>
      </c>
      <c r="D38" s="2" t="n">
        <v>5200</v>
      </c>
      <c r="E38" s="2" t="n">
        <v>996736</v>
      </c>
    </row>
    <row r="39">
      <c r="A39" s="2" t="inlineStr">
        <is>
          <t>Alto</t>
        </is>
      </c>
      <c r="B39" s="2" t="inlineStr">
        <is>
          <t>IGV referencial 18% si aplica</t>
        </is>
      </c>
      <c r="C39" s="2" t="n">
        <v>149.75</v>
      </c>
      <c r="D39" s="2" t="n">
        <v>5200</v>
      </c>
      <c r="E39" s="2" t="n">
        <v>179412.48</v>
      </c>
    </row>
    <row r="40">
      <c r="A40" s="2" t="inlineStr">
        <is>
          <t>Alto</t>
        </is>
      </c>
      <c r="B40" s="2" t="inlineStr">
        <is>
          <t>TOTAL SIMULADO CON IGV REFERENCIAL</t>
        </is>
      </c>
      <c r="C40" s="2" t="n">
        <v>149.75</v>
      </c>
      <c r="D40" s="2" t="n">
        <v>5200</v>
      </c>
      <c r="E40" s="2" t="n">
        <v>1176148.48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  <col width="12" customWidth="1" min="4" max="4"/>
    <col width="28" customWidth="1" min="5" max="5"/>
  </cols>
  <sheetData>
    <row r="1">
      <c r="A1" s="1" t="inlineStr">
        <is>
          <t>Nivel</t>
        </is>
      </c>
      <c r="B1" s="1" t="inlineStr">
        <is>
          <t>Elemento</t>
        </is>
      </c>
      <c r="C1" s="1" t="inlineStr">
        <is>
          <t>Zona</t>
        </is>
      </c>
      <c r="D1" s="1" t="inlineStr">
        <is>
          <t>Área m²</t>
        </is>
      </c>
      <c r="E1" s="1" t="inlineStr">
        <is>
          <t>Incluido en costo interior</t>
        </is>
      </c>
    </row>
    <row r="2">
      <c r="A2" s="2" t="inlineStr">
        <is>
          <t>N1</t>
        </is>
      </c>
      <c r="B2" s="2" t="inlineStr">
        <is>
          <t>ACCESS</t>
        </is>
      </c>
      <c r="C2" s="2" t="inlineStr">
        <is>
          <t>ACCESS</t>
        </is>
      </c>
      <c r="D2" s="2" t="n">
        <v>5</v>
      </c>
      <c r="E2" s="2" t="inlineStr">
        <is>
          <t>SÍ</t>
        </is>
      </c>
    </row>
    <row r="3">
      <c r="A3" s="2" t="inlineStr">
        <is>
          <t>N1</t>
        </is>
      </c>
      <c r="B3" s="2" t="inlineStr">
        <is>
          <t>GROUND_CIRCULATION</t>
        </is>
      </c>
      <c r="C3" s="2" t="inlineStr">
        <is>
          <t>TRANSITION</t>
        </is>
      </c>
      <c r="D3" s="2" t="n">
        <v>14</v>
      </c>
      <c r="E3" s="2" t="inlineStr">
        <is>
          <t>SÍ</t>
        </is>
      </c>
    </row>
    <row r="4">
      <c r="A4" s="2" t="inlineStr">
        <is>
          <t>N1</t>
        </is>
      </c>
      <c r="B4" s="2" t="inlineStr">
        <is>
          <t>LIVING_DINING</t>
        </is>
      </c>
      <c r="C4" s="2" t="inlineStr">
        <is>
          <t>PUBLIC</t>
        </is>
      </c>
      <c r="D4" s="2" t="n">
        <v>42</v>
      </c>
      <c r="E4" s="2" t="inlineStr">
        <is>
          <t>SÍ</t>
        </is>
      </c>
    </row>
    <row r="5">
      <c r="A5" s="2" t="inlineStr">
        <is>
          <t>N1</t>
        </is>
      </c>
      <c r="B5" s="2" t="inlineStr">
        <is>
          <t>KITCHEN</t>
        </is>
      </c>
      <c r="C5" s="2" t="inlineStr">
        <is>
          <t>SERVICE</t>
        </is>
      </c>
      <c r="D5" s="2" t="n">
        <v>13.5</v>
      </c>
      <c r="E5" s="2" t="inlineStr">
        <is>
          <t>SÍ</t>
        </is>
      </c>
    </row>
    <row r="6">
      <c r="A6" s="2" t="inlineStr">
        <is>
          <t>N1</t>
        </is>
      </c>
      <c r="B6" s="2" t="inlineStr">
        <is>
          <t>SOCIAL_BATH</t>
        </is>
      </c>
      <c r="C6" s="2" t="inlineStr">
        <is>
          <t>SERVICE</t>
        </is>
      </c>
      <c r="D6" s="2" t="n">
        <v>5</v>
      </c>
      <c r="E6" s="2" t="inlineStr">
        <is>
          <t>SÍ</t>
        </is>
      </c>
    </row>
    <row r="7">
      <c r="A7" s="2" t="inlineStr">
        <is>
          <t>N1</t>
        </is>
      </c>
      <c r="B7" s="2" t="inlineStr">
        <is>
          <t>PATIO</t>
        </is>
      </c>
      <c r="C7" s="2" t="inlineStr">
        <is>
          <t>OUTDOOR</t>
        </is>
      </c>
      <c r="D7" s="2" t="n">
        <v>21</v>
      </c>
      <c r="E7" s="2" t="inlineStr">
        <is>
          <t>NO</t>
        </is>
      </c>
    </row>
    <row r="8">
      <c r="A8" s="2" t="inlineStr">
        <is>
          <t>N2</t>
        </is>
      </c>
      <c r="B8" s="2" t="inlineStr">
        <is>
          <t>UPPER_CIRCULATION</t>
        </is>
      </c>
      <c r="C8" s="2" t="inlineStr">
        <is>
          <t>TRANSITION</t>
        </is>
      </c>
      <c r="D8" s="2" t="n">
        <v>14</v>
      </c>
      <c r="E8" s="2" t="inlineStr">
        <is>
          <t>SÍ</t>
        </is>
      </c>
    </row>
    <row r="9">
      <c r="A9" s="2" t="inlineStr">
        <is>
          <t>N2</t>
        </is>
      </c>
      <c r="B9" s="2" t="inlineStr">
        <is>
          <t>MAIN_BEDROOM</t>
        </is>
      </c>
      <c r="C9" s="2" t="inlineStr">
        <is>
          <t>PRIVATE</t>
        </is>
      </c>
      <c r="D9" s="2" t="n">
        <v>25</v>
      </c>
      <c r="E9" s="2" t="inlineStr">
        <is>
          <t>SÍ</t>
        </is>
      </c>
    </row>
    <row r="10">
      <c r="A10" s="2" t="inlineStr">
        <is>
          <t>N2</t>
        </is>
      </c>
      <c r="B10" s="2" t="inlineStr">
        <is>
          <t>BEDROOM_2</t>
        </is>
      </c>
      <c r="C10" s="2" t="inlineStr">
        <is>
          <t>PRIVATE</t>
        </is>
      </c>
      <c r="D10" s="2" t="n">
        <v>25</v>
      </c>
      <c r="E10" s="2" t="inlineStr">
        <is>
          <t>SÍ</t>
        </is>
      </c>
    </row>
    <row r="11">
      <c r="A11" s="2" t="inlineStr">
        <is>
          <t>N2</t>
        </is>
      </c>
      <c r="B11" s="2" t="inlineStr">
        <is>
          <t>PRIVATE_BATH</t>
        </is>
      </c>
      <c r="C11" s="2" t="inlineStr">
        <is>
          <t>SERVICE</t>
        </is>
      </c>
      <c r="D11" s="2" t="n">
        <v>6.25</v>
      </c>
      <c r="E11" s="2" t="inlineStr">
        <is>
          <t>SÍ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2" customWidth="1" min="2" max="2"/>
  </cols>
  <sheetData>
    <row r="1">
      <c r="A1" s="1" t="inlineStr">
        <is>
          <t>Tema</t>
        </is>
      </c>
      <c r="B1" s="1" t="inlineStr">
        <is>
          <t>Nota</t>
        </is>
      </c>
    </row>
    <row r="2">
      <c r="A2" s="2" t="inlineStr">
        <is>
          <t>Base geométrica</t>
        </is>
      </c>
      <c r="B2" s="2" t="inlineStr">
        <is>
          <t>Se usa el modelo HOUSE-A21-S1 existente; sus espacios son HYPOTHESIS.</t>
        </is>
      </c>
    </row>
    <row r="3">
      <c r="A3" s="2" t="inlineStr">
        <is>
          <t>Precio unitario</t>
        </is>
      </c>
      <c r="B3" s="2" t="inlineStr">
        <is>
          <t>Los precios 2,800 / 3,800 / 5,200 PEN/m² son supuestos de simulación, no cotizaciones ni datos de mercado.</t>
        </is>
      </c>
    </row>
    <row r="4">
      <c r="A4" s="2" t="inlineStr">
        <is>
          <t>Incluido</t>
        </is>
      </c>
      <c r="B4" s="2" t="inlineStr">
        <is>
          <t>Construcción interior, obras exteriores/patio al 8%, diseño/permisos al 10% y contingencia al 10%.</t>
        </is>
      </c>
    </row>
    <row r="5">
      <c r="A5" s="2" t="inlineStr">
        <is>
          <t>IGV</t>
        </is>
      </c>
      <c r="B5" s="2" t="inlineStr">
        <is>
          <t>Se muestra 18% como escenario referencial opcional; confirmar tratamiento tributario del contrato.</t>
        </is>
      </c>
    </row>
    <row r="6">
      <c r="A6" s="2" t="inlineStr">
        <is>
          <t>Excluido</t>
        </is>
      </c>
      <c r="B6" s="2" t="inlineStr">
        <is>
          <t>Terreno, financiamiento, mobiliario suelto, electrodomésticos, estudios especializados, conexiones externas y cambios normativos.</t>
        </is>
      </c>
    </row>
    <row r="7">
      <c r="A7" s="2" t="inlineStr">
        <is>
          <t>Limitación</t>
        </is>
      </c>
      <c r="B7" s="2" t="inlineStr">
        <is>
          <t>El modelo declara constructionDocumentation=NOT_CLAIMED, permitReady=false y constructionReady=false.</t>
        </is>
      </c>
    </row>
    <row r="8">
      <c r="A8" s="2" t="inlineStr">
        <is>
          <t>Siguiente paso</t>
        </is>
      </c>
      <c r="B8" s="2" t="inlineStr">
        <is>
          <t>Reemplazar supuestos por cotizaciones, especificaciones, metrados, sistema estructural, ubicación y fecha de precios.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2026-09-20T09:06:31Z</dcterms:created>
  <dcterms:modified xmlns:dcterms="http://purl.org/dc/terms/" xmlns:xsi="http://www.w3.org/2001/XMLSchema-instance" xsi:type="dcterms:W3CDTF">2026-09-20T09:06:31Z</dcterms:modified>
</cp:coreProperties>
</file>